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P\sxk1332\Research\"/>
    </mc:Choice>
  </mc:AlternateContent>
  <xr:revisionPtr revIDLastSave="0" documentId="8_{595A6DCD-ED99-45A5-AC58-146350778618}" xr6:coauthVersionLast="47" xr6:coauthVersionMax="47" xr10:uidLastSave="{00000000-0000-0000-0000-000000000000}"/>
  <bookViews>
    <workbookView xWindow="-110" yWindow="-110" windowWidth="25820" windowHeight="15500" xr2:uid="{55061A6E-82E4-4622-A69E-12439793FC6C}"/>
  </bookViews>
  <sheets>
    <sheet name="View_NextdayPrediction" sheetId="2" r:id="rId1"/>
  </sheets>
  <definedNames>
    <definedName name="ExternalData_1" localSheetId="0" hidden="1">View_NextdayPrediction!$A$1:$H$18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G21" i="2"/>
  <c r="G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EE631-44D3-4B10-9FF8-460040F81E8A}" keepAlive="1" name="Query - View_NextdayPrediction" description="Connection to the 'View_NextdayPrediction' query in the workbook." type="5" refreshedVersion="8" background="1" saveData="1">
    <dbPr connection="Provider=Microsoft.Mashup.OleDb.1;Data Source=$Workbook$;Location=View_NextdayPrediction;Extended Properties=&quot;&quot;" command="SELECT * FROM [View_NextdayPrediction]"/>
  </connection>
</connections>
</file>

<file path=xl/sharedStrings.xml><?xml version="1.0" encoding="utf-8"?>
<sst xmlns="http://schemas.openxmlformats.org/spreadsheetml/2006/main" count="79" uniqueCount="16">
  <si>
    <t>CurrentDate</t>
  </si>
  <si>
    <t>ActualPrice</t>
  </si>
  <si>
    <t>NextDayActualPrice</t>
  </si>
  <si>
    <t>LSTM_Predicted_Close</t>
  </si>
  <si>
    <t>LSTM_Direction</t>
  </si>
  <si>
    <t>LSTM_Returns_Direction</t>
  </si>
  <si>
    <t>LSTM_Direction_Check</t>
  </si>
  <si>
    <t>LSTM_Returns_Direction_Check</t>
  </si>
  <si>
    <t>DOWN</t>
  </si>
  <si>
    <t>1</t>
  </si>
  <si>
    <t>0</t>
  </si>
  <si>
    <t>UP</t>
  </si>
  <si>
    <t>N/A</t>
  </si>
  <si>
    <t>Total Correct:</t>
  </si>
  <si>
    <t>10/17</t>
  </si>
  <si>
    <t>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</si>
</sst>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2E5078-75AA-4618-B068-92A9C8C949E8}" autoFormatId="16" applyNumberFormats="0" applyBorderFormats="0" applyFontFormats="0" applyPatternFormats="0" applyAlignmentFormats="0" applyWidthHeightFormats="0">
  <queryTableRefresh nextId="9">
    <queryTableFields count="8">
      <queryTableField id="1" name="CurrentDate" tableColumnId="1"/>
      <queryTableField id="2" name="ActualPrice" tableColumnId="2"/>
      <queryTableField id="3" name="NextDayActualPrice" tableColumnId="3"/>
      <queryTableField id="4" name="LSTM_Predicted_Close" tableColumnId="4"/>
      <queryTableField id="5" name="LSTM_Direction" tableColumnId="5"/>
      <queryTableField id="6" name="LSTM_Returns_Direction" tableColumnId="6"/>
      <queryTableField id="7" name="LSTM_Direction_Check" tableColumnId="7"/>
      <queryTableField id="8" name="LSTM_Returns_Direction_Chec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7FDBE-F388-4358-B890-E435554DB0AE}" name="View_NextdayPrediction" displayName="View_NextdayPrediction" ref="A1:H18" tableType="queryTable" totalsRowShown="0" headerRowDxfId="9" dataDxfId="8">
  <autoFilter ref="A1:H18" xr:uid="{A197FDBE-F388-4358-B890-E435554DB0AE}"/>
  <tableColumns count="8">
    <tableColumn id="1" xr3:uid="{CA7097D0-63F3-4C58-B5FB-1B809F9505BA}" uniqueName="1" name="CurrentDate" queryTableFieldId="1" dataDxfId="7"/>
    <tableColumn id="2" xr3:uid="{1FAB6221-DA36-444A-88DD-BA3C9523AB95}" uniqueName="2" name="ActualPrice" queryTableFieldId="2" dataDxfId="6"/>
    <tableColumn id="3" xr3:uid="{E3C68633-6E9A-475F-B64A-5050FE4AF72A}" uniqueName="3" name="NextDayActualPrice" queryTableFieldId="3" dataDxfId="5"/>
    <tableColumn id="4" xr3:uid="{A8429328-959B-4F70-8E6C-1AA1CE30F9F1}" uniqueName="4" name="LSTM_Predicted_Close" queryTableFieldId="4" dataDxfId="4"/>
    <tableColumn id="5" xr3:uid="{5664C2FC-EE5B-4E01-AC15-52D1A64657D8}" uniqueName="5" name="LSTM_Direction" queryTableFieldId="5" dataDxfId="3"/>
    <tableColumn id="6" xr3:uid="{D37A5F43-4329-420B-AFD8-9E984550963D}" uniqueName="6" name="LSTM_Returns_Direction" queryTableFieldId="6" dataDxfId="2"/>
    <tableColumn id="7" xr3:uid="{13A0FE29-86B2-4992-936C-8D1920E6C598}" uniqueName="7" name="LSTM_Direction_Check" queryTableFieldId="7" dataDxfId="1"/>
    <tableColumn id="8" xr3:uid="{63D898E4-C973-4ECE-87AC-7D406605639A}" uniqueName="8" name="LSTM_Returns_Direction_Check" queryTableFieldId="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F2C4-3753-44C1-8077-0AE055AECDBF}">
  <dimension ref="A1:H21"/>
  <sheetViews>
    <sheetView tabSelected="1" workbookViewId="0">
      <selection activeCell="G29" sqref="G29"/>
    </sheetView>
  </sheetViews>
  <sheetFormatPr defaultRowHeight="14.5" x14ac:dyDescent="0.35"/>
  <cols>
    <col min="1" max="1" width="19.6328125" style="1" customWidth="1"/>
    <col min="2" max="2" width="18.453125" style="1" customWidth="1"/>
    <col min="3" max="3" width="25.26953125" style="1" customWidth="1"/>
    <col min="4" max="4" width="28.26953125" style="1" customWidth="1"/>
    <col min="5" max="5" width="25.36328125" style="1" customWidth="1"/>
    <col min="6" max="6" width="28.54296875" style="1" customWidth="1"/>
    <col min="7" max="7" width="27" style="1" customWidth="1"/>
    <col min="8" max="8" width="31.7265625" style="1" customWidth="1"/>
    <col min="9" max="16384" width="8.7265625" style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2">
        <v>46078</v>
      </c>
      <c r="B2" s="3">
        <v>274.23</v>
      </c>
      <c r="C2" s="3">
        <v>272.95</v>
      </c>
      <c r="D2" s="3">
        <v>266.54000000000002</v>
      </c>
      <c r="E2" s="4" t="s">
        <v>8</v>
      </c>
      <c r="F2" s="4" t="s">
        <v>8</v>
      </c>
      <c r="G2" s="4" t="s">
        <v>9</v>
      </c>
      <c r="H2" s="4" t="s">
        <v>9</v>
      </c>
    </row>
    <row r="3" spans="1:8" x14ac:dyDescent="0.35">
      <c r="A3" s="2">
        <v>46079</v>
      </c>
      <c r="B3" s="3">
        <v>272.95</v>
      </c>
      <c r="C3" s="3">
        <v>264.18</v>
      </c>
      <c r="D3" s="3">
        <v>268.77</v>
      </c>
      <c r="E3" s="4" t="s">
        <v>8</v>
      </c>
      <c r="F3" s="4" t="s">
        <v>8</v>
      </c>
      <c r="G3" s="4" t="s">
        <v>9</v>
      </c>
      <c r="H3" s="4" t="s">
        <v>9</v>
      </c>
    </row>
    <row r="4" spans="1:8" x14ac:dyDescent="0.35">
      <c r="A4" s="2">
        <v>46080</v>
      </c>
      <c r="B4" s="3">
        <v>264.18</v>
      </c>
      <c r="C4" s="3">
        <v>264.72000000000003</v>
      </c>
      <c r="D4" s="3">
        <v>268.48</v>
      </c>
      <c r="E4" s="4" t="s">
        <v>8</v>
      </c>
      <c r="F4" s="4" t="s">
        <v>8</v>
      </c>
      <c r="G4" s="4" t="s">
        <v>10</v>
      </c>
      <c r="H4" s="4" t="s">
        <v>10</v>
      </c>
    </row>
    <row r="5" spans="1:8" x14ac:dyDescent="0.35">
      <c r="A5" s="2">
        <v>46083</v>
      </c>
      <c r="B5" s="3">
        <v>264.72000000000003</v>
      </c>
      <c r="C5" s="3">
        <v>263.75</v>
      </c>
      <c r="D5" s="3">
        <v>265.02999999999997</v>
      </c>
      <c r="E5" s="4" t="s">
        <v>8</v>
      </c>
      <c r="F5" s="4" t="s">
        <v>11</v>
      </c>
      <c r="G5" s="4" t="s">
        <v>9</v>
      </c>
      <c r="H5" s="4" t="s">
        <v>10</v>
      </c>
    </row>
    <row r="6" spans="1:8" x14ac:dyDescent="0.35">
      <c r="A6" s="2">
        <v>46084</v>
      </c>
      <c r="B6" s="3">
        <v>263.75</v>
      </c>
      <c r="C6" s="3">
        <v>262.52</v>
      </c>
      <c r="D6" s="3">
        <v>262.68</v>
      </c>
      <c r="E6" s="4" t="s">
        <v>8</v>
      </c>
      <c r="F6" s="4" t="s">
        <v>11</v>
      </c>
      <c r="G6" s="4" t="s">
        <v>9</v>
      </c>
      <c r="H6" s="4" t="s">
        <v>10</v>
      </c>
    </row>
    <row r="7" spans="1:8" x14ac:dyDescent="0.35">
      <c r="A7" s="2">
        <v>46085</v>
      </c>
      <c r="B7" s="3">
        <v>262.52</v>
      </c>
      <c r="C7" s="3">
        <v>260.29000000000002</v>
      </c>
      <c r="D7" s="3">
        <v>260.48</v>
      </c>
      <c r="E7" s="4" t="s">
        <v>8</v>
      </c>
      <c r="F7" s="4" t="s">
        <v>11</v>
      </c>
      <c r="G7" s="4" t="s">
        <v>9</v>
      </c>
      <c r="H7" s="4" t="s">
        <v>10</v>
      </c>
    </row>
    <row r="8" spans="1:8" x14ac:dyDescent="0.35">
      <c r="A8" s="2">
        <v>46086</v>
      </c>
      <c r="B8" s="3">
        <v>260.29000000000002</v>
      </c>
      <c r="C8" s="3">
        <v>257.45999999999998</v>
      </c>
      <c r="D8" s="3">
        <v>261.23</v>
      </c>
      <c r="E8" s="4" t="s">
        <v>8</v>
      </c>
      <c r="F8" s="4" t="s">
        <v>11</v>
      </c>
      <c r="G8" s="4" t="s">
        <v>9</v>
      </c>
      <c r="H8" s="4" t="s">
        <v>10</v>
      </c>
    </row>
    <row r="9" spans="1:8" x14ac:dyDescent="0.35">
      <c r="A9" s="2">
        <v>46087</v>
      </c>
      <c r="B9" s="3">
        <v>257.45999999999998</v>
      </c>
      <c r="C9" s="3">
        <v>259.88</v>
      </c>
      <c r="D9" s="3">
        <v>258.12</v>
      </c>
      <c r="E9" s="4" t="s">
        <v>11</v>
      </c>
      <c r="F9" s="4" t="s">
        <v>11</v>
      </c>
      <c r="G9" s="4" t="s">
        <v>9</v>
      </c>
      <c r="H9" s="4" t="s">
        <v>9</v>
      </c>
    </row>
    <row r="10" spans="1:8" x14ac:dyDescent="0.35">
      <c r="A10" s="2">
        <v>46090</v>
      </c>
      <c r="B10" s="3">
        <v>259.88</v>
      </c>
      <c r="C10" s="3">
        <v>260.83</v>
      </c>
      <c r="D10" s="3">
        <v>251.9708</v>
      </c>
      <c r="E10" s="4" t="s">
        <v>11</v>
      </c>
      <c r="F10" s="4" t="s">
        <v>11</v>
      </c>
      <c r="G10" s="4" t="s">
        <v>9</v>
      </c>
      <c r="H10" s="4" t="s">
        <v>9</v>
      </c>
    </row>
    <row r="11" spans="1:8" x14ac:dyDescent="0.35">
      <c r="A11" s="2">
        <v>46091</v>
      </c>
      <c r="B11" s="3">
        <v>260.83</v>
      </c>
      <c r="C11" s="3">
        <v>260.81</v>
      </c>
      <c r="D11" s="3">
        <v>256.01310000000001</v>
      </c>
      <c r="E11" s="4" t="s">
        <v>11</v>
      </c>
      <c r="F11" s="4" t="s">
        <v>11</v>
      </c>
      <c r="G11" s="4" t="s">
        <v>10</v>
      </c>
      <c r="H11" s="4" t="s">
        <v>10</v>
      </c>
    </row>
    <row r="12" spans="1:8" x14ac:dyDescent="0.35">
      <c r="A12" s="2">
        <v>46092</v>
      </c>
      <c r="B12" s="3">
        <v>260.81</v>
      </c>
      <c r="C12" s="3">
        <v>255.76</v>
      </c>
      <c r="D12" s="3">
        <v>249.59309999999999</v>
      </c>
      <c r="E12" s="4" t="s">
        <v>11</v>
      </c>
      <c r="F12" s="4" t="s">
        <v>11</v>
      </c>
      <c r="G12" s="4" t="s">
        <v>10</v>
      </c>
      <c r="H12" s="4" t="s">
        <v>10</v>
      </c>
    </row>
    <row r="13" spans="1:8" x14ac:dyDescent="0.35">
      <c r="A13" s="2">
        <v>46093</v>
      </c>
      <c r="B13" s="3">
        <v>255.76</v>
      </c>
      <c r="C13" s="3">
        <v>250.12</v>
      </c>
      <c r="D13" s="3">
        <v>249.447</v>
      </c>
      <c r="E13" s="4" t="s">
        <v>11</v>
      </c>
      <c r="F13" s="4" t="s">
        <v>11</v>
      </c>
      <c r="G13" s="4" t="s">
        <v>10</v>
      </c>
      <c r="H13" s="4" t="s">
        <v>10</v>
      </c>
    </row>
    <row r="14" spans="1:8" x14ac:dyDescent="0.35">
      <c r="A14" s="2">
        <v>46094</v>
      </c>
      <c r="B14" s="3">
        <v>250.12</v>
      </c>
      <c r="C14" s="3">
        <v>252.82</v>
      </c>
      <c r="D14" s="3">
        <v>244.8501</v>
      </c>
      <c r="E14" s="4" t="s">
        <v>11</v>
      </c>
      <c r="F14" s="4" t="s">
        <v>11</v>
      </c>
      <c r="G14" s="4" t="s">
        <v>9</v>
      </c>
      <c r="H14" s="4" t="s">
        <v>9</v>
      </c>
    </row>
    <row r="15" spans="1:8" x14ac:dyDescent="0.35">
      <c r="A15" s="2">
        <v>46097</v>
      </c>
      <c r="B15" s="3">
        <v>252.82</v>
      </c>
      <c r="C15" s="3">
        <v>254.23</v>
      </c>
      <c r="D15" s="3">
        <v>249.38</v>
      </c>
      <c r="E15" s="4" t="s">
        <v>11</v>
      </c>
      <c r="F15" s="4" t="s">
        <v>11</v>
      </c>
      <c r="G15" s="4" t="s">
        <v>9</v>
      </c>
      <c r="H15" s="4" t="s">
        <v>9</v>
      </c>
    </row>
    <row r="16" spans="1:8" x14ac:dyDescent="0.35">
      <c r="A16" s="2">
        <v>46098</v>
      </c>
      <c r="B16" s="3">
        <v>254.23</v>
      </c>
      <c r="C16" s="3">
        <v>249.94</v>
      </c>
      <c r="D16" s="3">
        <v>248.66839999999999</v>
      </c>
      <c r="E16" s="4" t="s">
        <v>11</v>
      </c>
      <c r="F16" s="4" t="s">
        <v>11</v>
      </c>
      <c r="G16" s="4" t="s">
        <v>10</v>
      </c>
      <c r="H16" s="4" t="s">
        <v>10</v>
      </c>
    </row>
    <row r="17" spans="1:8" x14ac:dyDescent="0.35">
      <c r="A17" s="2">
        <v>46099</v>
      </c>
      <c r="B17" s="3">
        <v>249.94</v>
      </c>
      <c r="C17" s="3">
        <v>248.96</v>
      </c>
      <c r="D17" s="3">
        <v>254.80170000000001</v>
      </c>
      <c r="E17" s="4" t="s">
        <v>11</v>
      </c>
      <c r="F17" s="4" t="s">
        <v>11</v>
      </c>
      <c r="G17" s="4">
        <f>SUM(G2:G16)</f>
        <v>0</v>
      </c>
      <c r="H17" s="4" t="s">
        <v>10</v>
      </c>
    </row>
    <row r="18" spans="1:8" x14ac:dyDescent="0.35">
      <c r="A18" s="6">
        <v>46100</v>
      </c>
      <c r="B18" s="7">
        <v>248.96</v>
      </c>
      <c r="C18" s="7" t="s">
        <v>12</v>
      </c>
      <c r="D18" s="7">
        <v>259.12549999999999</v>
      </c>
      <c r="E18" s="8" t="s">
        <v>11</v>
      </c>
      <c r="F18" s="8" t="s">
        <v>11</v>
      </c>
      <c r="G18" s="7" t="s">
        <v>12</v>
      </c>
      <c r="H18" s="7" t="s">
        <v>12</v>
      </c>
    </row>
    <row r="20" spans="1:8" x14ac:dyDescent="0.35">
      <c r="F20" s="1" t="s">
        <v>13</v>
      </c>
      <c r="G20" s="9" t="s">
        <v>14</v>
      </c>
      <c r="H20" s="9" t="s">
        <v>15</v>
      </c>
    </row>
    <row r="21" spans="1:8" x14ac:dyDescent="0.35">
      <c r="G21" s="10">
        <f>10/17</f>
        <v>0.58823529411764708</v>
      </c>
      <c r="H21" s="11">
        <f>6/17</f>
        <v>0.35294117647058826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FEAF9-5F15-4E48-8838-E14639FDF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View_NextdayPrediction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Shravni Kulkarni</dc:creator>
  <cp:lastModifiedBy>Shravni Kulkarni</cp:lastModifiedBy>
  <dcterms:created xsi:type="dcterms:W3CDTF">2026-03-24T15:08:15Z</dcterms:created>
  <dcterms:modified xsi:type="dcterms:W3CDTF">2026-03-24T15:32:33Z</dcterms:modified>
</cp:coreProperties>
</file>